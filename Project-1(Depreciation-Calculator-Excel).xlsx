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himanshushirbhate/Desktop/CoachX/Excel/projects/project 1/"/>
    </mc:Choice>
  </mc:AlternateContent>
  <xr:revisionPtr revIDLastSave="0" documentId="13_ncr:1_{1EE281D3-69EC-224B-8FD7-E809A0219201}" xr6:coauthVersionLast="47" xr6:coauthVersionMax="47" xr10:uidLastSave="{00000000-0000-0000-0000-000000000000}"/>
  <bookViews>
    <workbookView xWindow="0" yWindow="660" windowWidth="29400" windowHeight="18460" activeTab="1" xr2:uid="{00000000-000D-0000-FFFF-FFFF00000000}"/>
  </bookViews>
  <sheets>
    <sheet name="Information" sheetId="2" r:id="rId1"/>
    <sheet name="Depreciation Calculator" sheetId="1" r:id="rId2"/>
    <sheet name="Sheet1" sheetId="3" r:id="rId3"/>
  </sheets>
  <definedNames>
    <definedName name="_xlchart.v1.0" hidden="1">'Depreciation Calculator'!$B$26:$C$36</definedName>
    <definedName name="_xlchart.v1.1" hidden="1">'Depreciation Calculator'!$D$25</definedName>
    <definedName name="_xlchart.v1.2" hidden="1">'Depreciation Calculator'!$D$26:$D$36</definedName>
    <definedName name="_xlchart.v1.3" hidden="1">'Depreciation Calculator'!$B$26:$C$36</definedName>
    <definedName name="_xlchart.v1.4" hidden="1">'Depreciation Calculator'!$D$25</definedName>
    <definedName name="_xlchart.v1.5" hidden="1">'Depreciation Calculator'!$D$26:$D$36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3" l="1"/>
  <c r="H40" i="3"/>
  <c r="H20" i="3"/>
  <c r="G30" i="3"/>
  <c r="F35" i="3"/>
  <c r="F16" i="3"/>
  <c r="F25" i="3"/>
  <c r="F12" i="3"/>
  <c r="D7" i="3"/>
  <c r="E3" i="3"/>
  <c r="D26" i="1"/>
  <c r="B28" i="1"/>
  <c r="B29" i="1" s="1"/>
  <c r="B30" i="1" s="1"/>
  <c r="B31" i="1" s="1"/>
  <c r="B32" i="1" s="1"/>
  <c r="B33" i="1" s="1"/>
  <c r="B34" i="1" s="1"/>
  <c r="B35" i="1" s="1"/>
  <c r="B36" i="1" s="1"/>
  <c r="B27" i="1"/>
  <c r="D20" i="1"/>
  <c r="D23" i="1" s="1"/>
  <c r="D8" i="1"/>
  <c r="C26" i="1" l="1"/>
  <c r="D11" i="1"/>
  <c r="D12" i="1" s="1"/>
  <c r="D27" i="1" l="1"/>
  <c r="D13" i="1"/>
  <c r="D14" i="1" l="1"/>
  <c r="D15" i="1" s="1"/>
  <c r="C27" i="1"/>
  <c r="D28" i="1" s="1"/>
  <c r="C28" i="1" l="1"/>
  <c r="D29" i="1" s="1"/>
  <c r="C29" i="1" s="1"/>
  <c r="D30" i="1" l="1"/>
  <c r="C30" i="1" s="1"/>
  <c r="D31" i="1" l="1"/>
  <c r="C31" i="1" s="1"/>
  <c r="D32" i="1" l="1"/>
  <c r="C32" i="1" s="1"/>
  <c r="D33" i="1" l="1"/>
  <c r="C33" i="1" s="1"/>
  <c r="D34" i="1" l="1"/>
  <c r="C34" i="1" s="1"/>
  <c r="D35" i="1" l="1"/>
  <c r="C35" i="1" s="1"/>
  <c r="D36" i="1" l="1"/>
  <c r="C36" i="1" s="1"/>
  <c r="D37" i="1" l="1"/>
  <c r="C37" i="1" s="1"/>
  <c r="D38" i="1" l="1"/>
  <c r="C38" i="1" s="1"/>
  <c r="D39" i="1" l="1"/>
  <c r="C39" i="1" s="1"/>
  <c r="D40" i="1" l="1"/>
  <c r="C40" i="1" s="1"/>
  <c r="D41" i="1" l="1"/>
  <c r="C41" i="1" s="1"/>
  <c r="D42" i="1" l="1"/>
  <c r="C42" i="1" s="1"/>
  <c r="D43" i="1" l="1"/>
  <c r="C43" i="1" s="1"/>
  <c r="D44" i="1" l="1"/>
  <c r="C44" i="1" s="1"/>
  <c r="D45" i="1" l="1"/>
  <c r="C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rgb="FF000000"/>
            <rFont val="Tahoma"/>
            <family val="2"/>
          </rPr>
          <t>In case of no scrap value, please put zero value.</t>
        </r>
      </text>
    </comment>
    <comment ref="D15" authorId="1" shapeId="0" xr:uid="{00000000-0006-0000-0100-000002000000}">
      <text>
        <r>
          <rPr>
            <b/>
            <sz val="9"/>
            <color rgb="FF000000"/>
            <rFont val="Tahoma"/>
            <family val="2"/>
          </rPr>
          <t>Accuracy Check - This cell must be zero.</t>
        </r>
      </text>
    </comment>
    <comment ref="D21" authorId="0" shapeId="0" xr:uid="{00000000-0006-0000-0100-000003000000}">
      <text>
        <r>
          <rPr>
            <b/>
            <sz val="9"/>
            <color rgb="FF000000"/>
            <rFont val="Tahoma"/>
            <family val="2"/>
          </rPr>
          <t>In case of diminishing depreciation scrap value cannot be zero</t>
        </r>
      </text>
    </comment>
  </commentList>
</comments>
</file>

<file path=xl/sharedStrings.xml><?xml version="1.0" encoding="utf-8"?>
<sst xmlns="http://schemas.openxmlformats.org/spreadsheetml/2006/main" count="54" uniqueCount="43">
  <si>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</si>
  <si>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</si>
  <si>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</si>
  <si>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</si>
  <si>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</si>
  <si>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</si>
  <si>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</si>
  <si>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</si>
  <si>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</si>
  <si>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</si>
  <si>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</si>
  <si>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</si>
  <si>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</si>
  <si>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</si>
  <si>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</si>
  <si>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</si>
  <si>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</si>
  <si>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</si>
  <si>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</si>
  <si>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</si>
  <si>
    <t>1) Calculate the annual depreciation amount using the straight-</t>
  </si>
  <si>
    <t>line method for the given asset.</t>
  </si>
  <si>
    <t>2) Calculate the total depreciation for the asset's entire life span</t>
  </si>
  <si>
    <t>using the straight-line method.</t>
  </si>
  <si>
    <t>3) What is the depreciated book value of the asset after its life</t>
  </si>
  <si>
    <t>span using the straight-line method?</t>
  </si>
  <si>
    <t>Answer=</t>
  </si>
  <si>
    <t>Answer =</t>
  </si>
  <si>
    <t>4) Calculate the rate of depreciation per year as per the</t>
  </si>
  <si>
    <t>diminishing balance method.</t>
  </si>
  <si>
    <t>5) What is the depreciation amount for the asset in the second</t>
  </si>
  <si>
    <t>year according to the diminishing balance method?</t>
  </si>
  <si>
    <t>6) What is the book value of the asset in the fourth year using</t>
  </si>
  <si>
    <t>the diminishing balance method?</t>
  </si>
  <si>
    <t>7) Calculate the total depreciation for the asset's entire life span</t>
  </si>
  <si>
    <t>using the diminishing balance method.</t>
  </si>
  <si>
    <t>8) What is the book value of the asset after its life span using</t>
  </si>
  <si>
    <t>Compare the total depreciation amounts obtained from the</t>
  </si>
  <si>
    <t>straight-line method and the diminishing balance method. Which</t>
  </si>
  <si>
    <t>method results in higher total depreciation?</t>
  </si>
  <si>
    <r>
      <rPr>
        <sz val="16"/>
        <color theme="1"/>
        <rFont val="Calibri"/>
        <family val="2"/>
        <scheme val="minor"/>
      </rPr>
      <t>T</t>
    </r>
    <r>
      <rPr>
        <sz val="16"/>
        <color theme="1"/>
        <rFont val="Calibri (Body)"/>
      </rPr>
      <t>he straight line method gives Higher Total Depreciation</t>
    </r>
  </si>
  <si>
    <t>straight line total depreciation=</t>
  </si>
  <si>
    <t>Diminishing Balance Total Deprecation=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</si>
</sst>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0.00_ ;[Red]\-[$$-409]#,##0.00\ "/>
    <numFmt numFmtId="165" formatCode="[$$-409]#,##0.00"/>
    <numFmt numFmtId="166" formatCode="[$$-409]#,##0.00_);[Red]\([$$-409]#,##0.00\)"/>
    <numFmt numFmtId="172" formatCode="_([$$-409]* #,##0.00_);_([$$-409]* \(#,##0.00\);_([$$-409]* &quot;-&quot;??_);_(@_)"/>
  </numFmts>
  <fonts count="14" x14ac:knownFonts="1">
    <font>
      <sz val="11"/>
      <color theme="1"/>
      <name val="Calibri"/>
      <family val="2"/>
      <scheme val="minor"/>
    </font>
    <font>
      <sz val="14"/>
      <color theme="1"/>
      <name val="Times New Roman"/>
      <family val="1"/>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sz val="11"/>
      <color theme="1"/>
      <name val="Calibri"/>
      <family val="2"/>
      <scheme val="minor"/>
    </font>
    <font>
      <b/>
      <sz val="9"/>
      <color rgb="FF000000"/>
      <name val="Tahoma"/>
      <family val="2"/>
    </font>
    <font>
      <sz val="18"/>
      <color rgb="FF000000"/>
      <name val="Times New Roman"/>
      <family val="1"/>
    </font>
    <font>
      <sz val="16"/>
      <color theme="1"/>
      <name val="Calibri"/>
      <family val="2"/>
      <scheme val="minor"/>
    </font>
    <font>
      <sz val="16"/>
      <color theme="1"/>
      <name val="Calibri (Body)"/>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3">
    <xf numFmtId="0" fontId="0" fillId="0" borderId="0"/>
    <xf numFmtId="0" fontId="2" fillId="0" borderId="0" applyNumberFormat="0" applyFill="0" applyBorder="0" applyAlignment="0" applyProtection="0">
      <alignment vertical="top"/>
      <protection locked="0"/>
    </xf>
    <xf numFmtId="44" fontId="9" fillId="0" borderId="0" applyFont="0" applyFill="0" applyBorder="0" applyAlignment="0" applyProtection="0"/>
  </cellStyleXfs>
  <cellXfs count="28">
    <xf numFmtId="0" fontId="0" fillId="0" borderId="0" xfId="0"/>
    <xf numFmtId="0" fontId="1" fillId="0" borderId="0" xfId="0" applyFont="1" applyAlignment="1">
      <alignment horizontal="center" vertical="center"/>
    </xf>
    <xf numFmtId="0" fontId="3" fillId="2" borderId="1" xfId="0" applyFont="1" applyFill="1" applyBorder="1" applyAlignment="1">
      <alignment horizontal="center" vertical="center"/>
    </xf>
    <xf numFmtId="164" fontId="3" fillId="2" borderId="1" xfId="0" applyNumberFormat="1" applyFont="1" applyFill="1" applyBorder="1" applyAlignment="1">
      <alignment horizontal="center" vertical="center"/>
    </xf>
    <xf numFmtId="164" fontId="5" fillId="2" borderId="1" xfId="0" applyNumberFormat="1" applyFont="1" applyFill="1" applyBorder="1" applyAlignment="1">
      <alignment horizontal="center" vertical="center"/>
    </xf>
    <xf numFmtId="0" fontId="3" fillId="3" borderId="0" xfId="0" applyFont="1" applyFill="1" applyAlignment="1">
      <alignment horizontal="center" vertical="center"/>
    </xf>
    <xf numFmtId="10"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165" fontId="3"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5"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2" borderId="4" xfId="0" applyFont="1" applyFill="1" applyBorder="1" applyAlignment="1">
      <alignment horizontal="right" vertical="center" indent="4"/>
    </xf>
    <xf numFmtId="0" fontId="5" fillId="2" borderId="5" xfId="0" applyFont="1" applyFill="1" applyBorder="1" applyAlignment="1">
      <alignment horizontal="right" vertical="center" indent="4"/>
    </xf>
    <xf numFmtId="0" fontId="7" fillId="2" borderId="1" xfId="0" applyFont="1" applyFill="1" applyBorder="1" applyAlignment="1">
      <alignment horizontal="center" vertical="center"/>
    </xf>
    <xf numFmtId="0" fontId="5" fillId="2" borderId="1" xfId="0" applyFont="1" applyFill="1" applyBorder="1" applyAlignment="1">
      <alignment horizontal="right" vertical="center" indent="4"/>
    </xf>
    <xf numFmtId="0" fontId="6" fillId="2" borderId="1" xfId="1" applyFont="1" applyFill="1" applyBorder="1" applyAlignment="1" applyProtection="1">
      <alignment horizontal="center" vertical="center"/>
    </xf>
    <xf numFmtId="0" fontId="4"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5" fillId="2" borderId="1" xfId="0" applyFont="1" applyFill="1" applyBorder="1" applyAlignment="1">
      <alignment horizontal="right" vertical="center" wrapText="1" indent="4"/>
    </xf>
    <xf numFmtId="0" fontId="8" fillId="2" borderId="1" xfId="0" applyFont="1" applyFill="1" applyBorder="1" applyAlignment="1">
      <alignment horizontal="center" vertical="center"/>
    </xf>
    <xf numFmtId="166" fontId="1" fillId="0" borderId="0" xfId="0" applyNumberFormat="1" applyFont="1" applyAlignment="1">
      <alignment horizontal="center" vertical="center"/>
    </xf>
    <xf numFmtId="0" fontId="11" fillId="0" borderId="0" xfId="0" applyFont="1"/>
    <xf numFmtId="0" fontId="12" fillId="0" borderId="0" xfId="0" applyFont="1"/>
    <xf numFmtId="0" fontId="13" fillId="0" borderId="0" xfId="0" applyFont="1"/>
    <xf numFmtId="172" fontId="12" fillId="0" borderId="0" xfId="0" applyNumberFormat="1" applyFont="1"/>
    <xf numFmtId="10" fontId="12" fillId="0" borderId="0" xfId="2" applyNumberFormat="1" applyFont="1"/>
  </cellXfs>
  <cellStyles count="3">
    <cellStyle name="Currency" xfId="2" builtinId="4"/>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B19" sqref="AB19"/>
    </sheetView>
  </sheetViews>
  <sheetFormatPr baseColWidth="10" defaultColWidth="8.83203125" defaultRowHeight="15" x14ac:dyDescent="0.2"/>
  <cols>
    <col min="1" max="1" width="9.164062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tabSelected="1" zoomScale="84" zoomScaleNormal="84" workbookViewId="0">
      <selection activeCell="J5" sqref="J5"/>
    </sheetView>
  </sheetViews>
  <sheetFormatPr baseColWidth="10" defaultColWidth="8.6640625" defaultRowHeight="18" x14ac:dyDescent="0.2"/>
  <cols>
    <col min="1" max="1" width="3.1640625" style="1" customWidth="1"/>
    <col min="2" max="2" width="12.5" style="1" customWidth="1"/>
    <col min="3" max="3" width="79.83203125" style="1" customWidth="1"/>
    <col min="4" max="4" width="19.1640625" style="1" bestFit="1" customWidth="1"/>
    <col min="5" max="5" width="3.33203125" style="1" customWidth="1"/>
    <col min="6" max="6" width="8.6640625" style="1"/>
    <col min="7" max="7" width="9" style="1" bestFit="1" customWidth="1"/>
    <col min="8" max="8" width="14.5" style="1" bestFit="1" customWidth="1"/>
    <col min="9" max="16384" width="8.6640625" style="1"/>
  </cols>
  <sheetData>
    <row r="1" spans="1:8" ht="10" customHeight="1" thickBot="1" x14ac:dyDescent="0.25">
      <c r="A1" s="9"/>
      <c r="B1" s="9"/>
      <c r="C1" s="9"/>
      <c r="D1" s="9"/>
      <c r="E1" s="9"/>
    </row>
    <row r="2" spans="1:8" ht="38" thickTop="1" thickBot="1" x14ac:dyDescent="0.25">
      <c r="A2" s="9"/>
      <c r="B2" s="18"/>
      <c r="C2" s="16" t="s">
        <v>19</v>
      </c>
      <c r="D2" s="16"/>
      <c r="E2" s="9"/>
    </row>
    <row r="3" spans="1:8" ht="27" thickTop="1" thickBot="1" x14ac:dyDescent="0.25">
      <c r="A3" s="9"/>
      <c r="B3" s="19"/>
      <c r="C3" s="17" t="s">
        <v>8</v>
      </c>
      <c r="D3" s="17"/>
      <c r="E3" s="9"/>
      <c r="H3" s="22"/>
    </row>
    <row r="4" spans="1:8" ht="20" thickTop="1" thickBot="1" x14ac:dyDescent="0.25">
      <c r="A4" s="9"/>
      <c r="B4" s="5"/>
      <c r="C4" s="5"/>
      <c r="D4" s="5"/>
      <c r="E4" s="9"/>
      <c r="H4" s="22"/>
    </row>
    <row r="5" spans="1:8" ht="27" thickTop="1" thickBot="1" x14ac:dyDescent="0.25">
      <c r="A5" s="9"/>
      <c r="B5" s="14" t="s">
        <v>17</v>
      </c>
      <c r="C5" s="14"/>
      <c r="D5" s="14"/>
      <c r="E5" s="9"/>
      <c r="H5" s="22"/>
    </row>
    <row r="6" spans="1:8" ht="20" thickTop="1" thickBot="1" x14ac:dyDescent="0.25">
      <c r="A6" s="9"/>
      <c r="B6" s="12" t="s">
        <v>11</v>
      </c>
      <c r="C6" s="13"/>
      <c r="D6" s="10">
        <v>450000</v>
      </c>
      <c r="E6" s="9"/>
    </row>
    <row r="7" spans="1:8" ht="20" thickTop="1" thickBot="1" x14ac:dyDescent="0.25">
      <c r="A7" s="9"/>
      <c r="B7" s="12" t="s">
        <v>13</v>
      </c>
      <c r="C7" s="13"/>
      <c r="D7" s="10">
        <v>50000</v>
      </c>
      <c r="E7" s="9"/>
    </row>
    <row r="8" spans="1:8" ht="20" thickTop="1" thickBot="1" x14ac:dyDescent="0.25">
      <c r="A8" s="9"/>
      <c r="B8" s="12" t="s">
        <v>0</v>
      </c>
      <c r="C8" s="13"/>
      <c r="D8" s="4">
        <f>SUM(D6:D7)</f>
        <v>500000</v>
      </c>
      <c r="E8" s="9"/>
    </row>
    <row r="9" spans="1:8" ht="20" thickTop="1" thickBot="1" x14ac:dyDescent="0.25">
      <c r="A9" s="9"/>
      <c r="B9" s="12" t="s">
        <v>1</v>
      </c>
      <c r="C9" s="13"/>
      <c r="D9" s="10">
        <v>50000</v>
      </c>
      <c r="E9" s="9"/>
    </row>
    <row r="10" spans="1:8" ht="20" thickTop="1" thickBot="1" x14ac:dyDescent="0.25">
      <c r="A10" s="9"/>
      <c r="B10" s="12" t="s">
        <v>2</v>
      </c>
      <c r="C10" s="13"/>
      <c r="D10" s="11">
        <v>10</v>
      </c>
      <c r="E10" s="9"/>
    </row>
    <row r="11" spans="1:8" ht="20" thickTop="1" thickBot="1" x14ac:dyDescent="0.25">
      <c r="A11" s="9"/>
      <c r="B11" s="15" t="s">
        <v>9</v>
      </c>
      <c r="C11" s="15"/>
      <c r="D11" s="4">
        <f>IF(D8="", "", SLN($D$8,$D$9,$D$10))</f>
        <v>45000</v>
      </c>
      <c r="E11" s="9"/>
    </row>
    <row r="12" spans="1:8" ht="20" thickTop="1" thickBot="1" x14ac:dyDescent="0.25">
      <c r="A12" s="9"/>
      <c r="B12" s="15" t="s">
        <v>12</v>
      </c>
      <c r="C12" s="15"/>
      <c r="D12" s="6">
        <f>IFERROR(D11/D8,"")</f>
        <v>0.09</v>
      </c>
      <c r="E12" s="9"/>
    </row>
    <row r="13" spans="1:8" ht="20" thickTop="1" thickBot="1" x14ac:dyDescent="0.25">
      <c r="A13" s="9"/>
      <c r="B13" s="12" t="s">
        <v>5</v>
      </c>
      <c r="C13" s="13"/>
      <c r="D13" s="3">
        <f>IF(D8="", "", D11*D10)</f>
        <v>450000</v>
      </c>
      <c r="E13" s="9"/>
    </row>
    <row r="14" spans="1:8" ht="20" thickTop="1" thickBot="1" x14ac:dyDescent="0.25">
      <c r="A14" s="9"/>
      <c r="B14" s="12" t="s">
        <v>4</v>
      </c>
      <c r="C14" s="13"/>
      <c r="D14" s="3">
        <f>IF(D8="", "", D8-D13)</f>
        <v>50000</v>
      </c>
      <c r="E14" s="9"/>
    </row>
    <row r="15" spans="1:8" ht="20" thickTop="1" thickBot="1" x14ac:dyDescent="0.25">
      <c r="A15" s="9"/>
      <c r="B15" s="12" t="s">
        <v>6</v>
      </c>
      <c r="C15" s="13"/>
      <c r="D15" s="3">
        <f>IF(D8="", "", D9-D14)</f>
        <v>0</v>
      </c>
      <c r="E15" s="9"/>
    </row>
    <row r="16" spans="1:8" ht="20" thickTop="1" thickBot="1" x14ac:dyDescent="0.25">
      <c r="A16" s="9"/>
      <c r="B16" s="5"/>
      <c r="C16" s="5"/>
      <c r="D16" s="5"/>
      <c r="E16" s="9"/>
    </row>
    <row r="17" spans="1:5" ht="27" thickTop="1" thickBot="1" x14ac:dyDescent="0.25">
      <c r="A17" s="9"/>
      <c r="B17" s="14" t="s">
        <v>16</v>
      </c>
      <c r="C17" s="14"/>
      <c r="D17" s="14"/>
      <c r="E17" s="9"/>
    </row>
    <row r="18" spans="1:5" ht="19" customHeight="1" thickTop="1" thickBot="1" x14ac:dyDescent="0.25">
      <c r="A18" s="9"/>
      <c r="B18" s="15" t="s">
        <v>11</v>
      </c>
      <c r="C18" s="15"/>
      <c r="D18" s="10">
        <v>450000</v>
      </c>
      <c r="E18" s="9"/>
    </row>
    <row r="19" spans="1:5" ht="19" customHeight="1" thickTop="1" thickBot="1" x14ac:dyDescent="0.25">
      <c r="A19" s="9"/>
      <c r="B19" s="15" t="s">
        <v>14</v>
      </c>
      <c r="C19" s="15"/>
      <c r="D19" s="10">
        <v>50000</v>
      </c>
      <c r="E19" s="9"/>
    </row>
    <row r="20" spans="1:5" ht="19" customHeight="1" thickTop="1" thickBot="1" x14ac:dyDescent="0.25">
      <c r="A20" s="9"/>
      <c r="B20" s="15" t="s">
        <v>0</v>
      </c>
      <c r="C20" s="15"/>
      <c r="D20" s="4">
        <f>SUM(D18:D19)</f>
        <v>500000</v>
      </c>
      <c r="E20" s="9"/>
    </row>
    <row r="21" spans="1:5" ht="19" customHeight="1" thickTop="1" thickBot="1" x14ac:dyDescent="0.25">
      <c r="A21" s="9"/>
      <c r="B21" s="15" t="s">
        <v>1</v>
      </c>
      <c r="C21" s="15"/>
      <c r="D21" s="10">
        <v>50000</v>
      </c>
      <c r="E21" s="9"/>
    </row>
    <row r="22" spans="1:5" ht="19" customHeight="1" thickTop="1" thickBot="1" x14ac:dyDescent="0.25">
      <c r="A22" s="9"/>
      <c r="B22" s="15" t="s">
        <v>2</v>
      </c>
      <c r="C22" s="15"/>
      <c r="D22" s="11">
        <v>10</v>
      </c>
      <c r="E22" s="9"/>
    </row>
    <row r="23" spans="1:5" ht="19" customHeight="1" thickTop="1" thickBot="1" x14ac:dyDescent="0.25">
      <c r="A23" s="9"/>
      <c r="B23" s="20" t="s">
        <v>10</v>
      </c>
      <c r="C23" s="20"/>
      <c r="D23" s="6">
        <f>IF(D20="","",1-(D21/D20)^(1/D22))</f>
        <v>0.20567176527571851</v>
      </c>
      <c r="E23" s="9"/>
    </row>
    <row r="24" spans="1:5" ht="25" thickTop="1" thickBot="1" x14ac:dyDescent="0.25">
      <c r="A24" s="9"/>
      <c r="B24" s="21" t="s">
        <v>15</v>
      </c>
      <c r="C24" s="21"/>
      <c r="D24" s="21"/>
      <c r="E24" s="9"/>
    </row>
    <row r="25" spans="1:5" ht="20" thickTop="1" thickBot="1" x14ac:dyDescent="0.25">
      <c r="A25" s="9"/>
      <c r="B25" s="7" t="s">
        <v>7</v>
      </c>
      <c r="C25" s="7" t="s">
        <v>18</v>
      </c>
      <c r="D25" s="7" t="s">
        <v>3</v>
      </c>
      <c r="E25" s="9"/>
    </row>
    <row r="26" spans="1:5" ht="20" thickTop="1" thickBot="1" x14ac:dyDescent="0.25">
      <c r="A26" s="9"/>
      <c r="B26" s="2">
        <v>1</v>
      </c>
      <c r="C26" s="8">
        <f>IFERROR(IF(D26&gt;$D$21, (D26*$D$23), ""),"")</f>
        <v>102835.88263785925</v>
      </c>
      <c r="D26" s="8">
        <f>D8</f>
        <v>500000</v>
      </c>
      <c r="E26" s="9"/>
    </row>
    <row r="27" spans="1:5" ht="20" thickTop="1" thickBot="1" x14ac:dyDescent="0.25">
      <c r="A27" s="9"/>
      <c r="B27" s="2">
        <f>B26+1</f>
        <v>2</v>
      </c>
      <c r="C27" s="8">
        <f t="shared" ref="C27:C45" si="0">IFERROR(IF(D27&gt;$D$21, (D27*$D$23), ""),"")</f>
        <v>81685.445122044126</v>
      </c>
      <c r="D27" s="8">
        <f t="shared" ref="D27:D45" si="1">IFERROR(D26-C26, "")</f>
        <v>397164.11736214074</v>
      </c>
      <c r="E27" s="9"/>
    </row>
    <row r="28" spans="1:5" ht="20" thickTop="1" thickBot="1" x14ac:dyDescent="0.25">
      <c r="A28" s="9"/>
      <c r="B28" s="2">
        <f t="shared" ref="B28:B36" si="2">B27+1</f>
        <v>3</v>
      </c>
      <c r="C28" s="8">
        <f t="shared" si="0"/>
        <v>64885.05542646048</v>
      </c>
      <c r="D28" s="8">
        <f t="shared" si="1"/>
        <v>315478.67224009661</v>
      </c>
      <c r="E28" s="9"/>
    </row>
    <row r="29" spans="1:5" ht="20" thickTop="1" thickBot="1" x14ac:dyDescent="0.25">
      <c r="A29" s="9"/>
      <c r="B29" s="2">
        <f t="shared" si="2"/>
        <v>4</v>
      </c>
      <c r="C29" s="8">
        <f t="shared" si="0"/>
        <v>51540.031536887516</v>
      </c>
      <c r="D29" s="8">
        <f t="shared" si="1"/>
        <v>250593.61681363612</v>
      </c>
      <c r="E29" s="9"/>
    </row>
    <row r="30" spans="1:5" ht="20" thickTop="1" thickBot="1" x14ac:dyDescent="0.25">
      <c r="A30" s="9"/>
      <c r="B30" s="2">
        <f t="shared" si="2"/>
        <v>5</v>
      </c>
      <c r="C30" s="8">
        <f t="shared" si="0"/>
        <v>40939.70226832966</v>
      </c>
      <c r="D30" s="8">
        <f t="shared" si="1"/>
        <v>199053.58527674861</v>
      </c>
      <c r="E30" s="9"/>
    </row>
    <row r="31" spans="1:5" ht="20" thickTop="1" thickBot="1" x14ac:dyDescent="0.25">
      <c r="A31" s="9"/>
      <c r="B31" s="2">
        <f t="shared" si="2"/>
        <v>6</v>
      </c>
      <c r="C31" s="8">
        <f t="shared" si="0"/>
        <v>32519.561432939961</v>
      </c>
      <c r="D31" s="8">
        <f t="shared" si="1"/>
        <v>158113.88300841895</v>
      </c>
      <c r="E31" s="9"/>
    </row>
    <row r="32" spans="1:5" ht="20" thickTop="1" thickBot="1" x14ac:dyDescent="0.25">
      <c r="A32" s="9"/>
      <c r="B32" s="2">
        <f t="shared" si="2"/>
        <v>7</v>
      </c>
      <c r="C32" s="8">
        <f t="shared" si="0"/>
        <v>25831.205827035024</v>
      </c>
      <c r="D32" s="8">
        <f t="shared" si="1"/>
        <v>125594.321575479</v>
      </c>
      <c r="E32" s="9"/>
    </row>
    <row r="33" spans="1:5" ht="20" thickTop="1" thickBot="1" x14ac:dyDescent="0.25">
      <c r="A33" s="9"/>
      <c r="B33" s="2">
        <f t="shared" si="2"/>
        <v>8</v>
      </c>
      <c r="C33" s="8">
        <f t="shared" si="0"/>
        <v>20518.456125388308</v>
      </c>
      <c r="D33" s="8">
        <f t="shared" si="1"/>
        <v>99763.115748443975</v>
      </c>
      <c r="E33" s="9"/>
    </row>
    <row r="34" spans="1:5" ht="20" thickTop="1" thickBot="1" x14ac:dyDescent="0.25">
      <c r="A34" s="9"/>
      <c r="B34" s="2">
        <f t="shared" si="2"/>
        <v>9</v>
      </c>
      <c r="C34" s="8">
        <f t="shared" si="0"/>
        <v>16298.389033347312</v>
      </c>
      <c r="D34" s="8">
        <f t="shared" si="1"/>
        <v>79244.659623055661</v>
      </c>
      <c r="E34" s="9"/>
    </row>
    <row r="35" spans="1:5" ht="20" thickTop="1" thickBot="1" x14ac:dyDescent="0.25">
      <c r="A35" s="9"/>
      <c r="B35" s="2">
        <f t="shared" si="2"/>
        <v>10</v>
      </c>
      <c r="C35" s="8">
        <f t="shared" si="0"/>
        <v>12946.27058970836</v>
      </c>
      <c r="D35" s="8">
        <f t="shared" si="1"/>
        <v>62946.270589708351</v>
      </c>
      <c r="E35" s="9"/>
    </row>
    <row r="36" spans="1:5" ht="20" thickTop="1" thickBot="1" x14ac:dyDescent="0.25">
      <c r="A36" s="9"/>
      <c r="B36" s="2">
        <f t="shared" si="2"/>
        <v>11</v>
      </c>
      <c r="C36" s="8" t="str">
        <f t="shared" si="0"/>
        <v/>
      </c>
      <c r="D36" s="8">
        <f t="shared" si="1"/>
        <v>49999.999999999993</v>
      </c>
      <c r="E36" s="9"/>
    </row>
    <row r="37" spans="1:5" ht="20" thickTop="1" thickBot="1" x14ac:dyDescent="0.25">
      <c r="A37" s="9"/>
      <c r="B37" s="2"/>
      <c r="C37" s="8" t="str">
        <f t="shared" si="0"/>
        <v/>
      </c>
      <c r="D37" s="8" t="str">
        <f t="shared" si="1"/>
        <v/>
      </c>
      <c r="E37" s="9"/>
    </row>
    <row r="38" spans="1:5" ht="20" thickTop="1" thickBot="1" x14ac:dyDescent="0.25">
      <c r="A38" s="9"/>
      <c r="B38" s="2"/>
      <c r="C38" s="8" t="str">
        <f t="shared" si="0"/>
        <v/>
      </c>
      <c r="D38" s="8" t="str">
        <f t="shared" si="1"/>
        <v/>
      </c>
      <c r="E38" s="9"/>
    </row>
    <row r="39" spans="1:5" ht="20" thickTop="1" thickBot="1" x14ac:dyDescent="0.25">
      <c r="A39" s="9"/>
      <c r="B39" s="2"/>
      <c r="C39" s="8" t="str">
        <f t="shared" si="0"/>
        <v/>
      </c>
      <c r="D39" s="8" t="str">
        <f t="shared" si="1"/>
        <v/>
      </c>
      <c r="E39" s="9"/>
    </row>
    <row r="40" spans="1:5" ht="20" thickTop="1" thickBot="1" x14ac:dyDescent="0.25">
      <c r="A40" s="9"/>
      <c r="B40" s="2"/>
      <c r="C40" s="8" t="str">
        <f t="shared" si="0"/>
        <v/>
      </c>
      <c r="D40" s="8" t="str">
        <f t="shared" si="1"/>
        <v/>
      </c>
      <c r="E40" s="9"/>
    </row>
    <row r="41" spans="1:5" ht="20" thickTop="1" thickBot="1" x14ac:dyDescent="0.25">
      <c r="A41" s="9"/>
      <c r="B41" s="2"/>
      <c r="C41" s="8" t="str">
        <f t="shared" si="0"/>
        <v/>
      </c>
      <c r="D41" s="8" t="str">
        <f t="shared" si="1"/>
        <v/>
      </c>
      <c r="E41" s="9"/>
    </row>
    <row r="42" spans="1:5" ht="20" thickTop="1" thickBot="1" x14ac:dyDescent="0.25">
      <c r="A42" s="9"/>
      <c r="B42" s="2"/>
      <c r="C42" s="8" t="str">
        <f t="shared" si="0"/>
        <v/>
      </c>
      <c r="D42" s="8" t="str">
        <f t="shared" si="1"/>
        <v/>
      </c>
      <c r="E42" s="9"/>
    </row>
    <row r="43" spans="1:5" ht="20" thickTop="1" thickBot="1" x14ac:dyDescent="0.25">
      <c r="A43" s="9"/>
      <c r="B43" s="2"/>
      <c r="C43" s="8" t="str">
        <f t="shared" si="0"/>
        <v/>
      </c>
      <c r="D43" s="8" t="str">
        <f t="shared" si="1"/>
        <v/>
      </c>
      <c r="E43" s="9"/>
    </row>
    <row r="44" spans="1:5" ht="20" thickTop="1" thickBot="1" x14ac:dyDescent="0.25">
      <c r="A44" s="9"/>
      <c r="B44" s="2"/>
      <c r="C44" s="8" t="str">
        <f t="shared" si="0"/>
        <v/>
      </c>
      <c r="D44" s="8" t="str">
        <f t="shared" si="1"/>
        <v/>
      </c>
      <c r="E44" s="9"/>
    </row>
    <row r="45" spans="1:5" ht="20" thickTop="1" thickBot="1" x14ac:dyDescent="0.25">
      <c r="A45" s="9"/>
      <c r="B45" s="2"/>
      <c r="C45" s="8" t="str">
        <f t="shared" si="0"/>
        <v/>
      </c>
      <c r="D45" s="8" t="str">
        <f t="shared" si="1"/>
        <v/>
      </c>
      <c r="E45" s="9"/>
    </row>
    <row r="46" spans="1:5" ht="19" thickTop="1" x14ac:dyDescent="0.2">
      <c r="A46" s="9"/>
      <c r="B46" s="9"/>
      <c r="C46" s="9"/>
      <c r="D46" s="9"/>
      <c r="E46" s="9"/>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9B19E-F080-0746-90E1-5CCA551E2574}">
  <dimension ref="A1:J44"/>
  <sheetViews>
    <sheetView topLeftCell="A12" zoomScaleNormal="100" workbookViewId="0">
      <selection activeCell="R42" sqref="R42"/>
    </sheetView>
  </sheetViews>
  <sheetFormatPr baseColWidth="10" defaultRowHeight="15" x14ac:dyDescent="0.2"/>
  <cols>
    <col min="4" max="9" width="17" bestFit="1" customWidth="1"/>
  </cols>
  <sheetData>
    <row r="1" spans="1:6" ht="23" x14ac:dyDescent="0.25">
      <c r="A1" s="23" t="s">
        <v>20</v>
      </c>
    </row>
    <row r="2" spans="1:6" ht="23" x14ac:dyDescent="0.25">
      <c r="A2" s="23" t="s">
        <v>21</v>
      </c>
    </row>
    <row r="3" spans="1:6" ht="21" x14ac:dyDescent="0.25">
      <c r="D3" s="25" t="s">
        <v>27</v>
      </c>
      <c r="E3" s="26">
        <f>'Depreciation Calculator'!D8-'Depreciation Calculator'!D9/'Depreciation Calculator'!D10</f>
        <v>495000</v>
      </c>
    </row>
    <row r="5" spans="1:6" ht="23" x14ac:dyDescent="0.25">
      <c r="A5" s="23" t="s">
        <v>22</v>
      </c>
    </row>
    <row r="6" spans="1:6" ht="23" x14ac:dyDescent="0.25">
      <c r="A6" s="23" t="s">
        <v>23</v>
      </c>
    </row>
    <row r="7" spans="1:6" ht="21" x14ac:dyDescent="0.25">
      <c r="C7" s="25" t="s">
        <v>27</v>
      </c>
      <c r="D7" s="26">
        <f>'Depreciation Calculator'!D11*'Depreciation Calculator'!D10</f>
        <v>450000</v>
      </c>
    </row>
    <row r="10" spans="1:6" ht="23" x14ac:dyDescent="0.25">
      <c r="A10" s="23" t="s">
        <v>24</v>
      </c>
    </row>
    <row r="11" spans="1:6" ht="23" x14ac:dyDescent="0.25">
      <c r="A11" s="23" t="s">
        <v>25</v>
      </c>
    </row>
    <row r="12" spans="1:6" ht="21" x14ac:dyDescent="0.25">
      <c r="E12" s="25" t="s">
        <v>27</v>
      </c>
      <c r="F12" s="26">
        <f>'Depreciation Calculator'!D9</f>
        <v>50000</v>
      </c>
    </row>
    <row r="14" spans="1:6" ht="23" x14ac:dyDescent="0.25">
      <c r="A14" s="23" t="s">
        <v>28</v>
      </c>
    </row>
    <row r="15" spans="1:6" ht="23" x14ac:dyDescent="0.25">
      <c r="A15" s="23" t="s">
        <v>29</v>
      </c>
    </row>
    <row r="16" spans="1:6" ht="21" x14ac:dyDescent="0.25">
      <c r="E16" s="25" t="s">
        <v>27</v>
      </c>
      <c r="F16" s="27">
        <f>'Depreciation Calculator'!D23</f>
        <v>0.20567176527571851</v>
      </c>
    </row>
    <row r="18" spans="1:8" ht="23" x14ac:dyDescent="0.25">
      <c r="A18" s="23" t="s">
        <v>30</v>
      </c>
    </row>
    <row r="19" spans="1:8" ht="23" x14ac:dyDescent="0.25">
      <c r="A19" s="23" t="s">
        <v>31</v>
      </c>
    </row>
    <row r="20" spans="1:8" ht="21" x14ac:dyDescent="0.25">
      <c r="G20" s="25" t="s">
        <v>26</v>
      </c>
      <c r="H20" s="26">
        <f>'Depreciation Calculator'!C27</f>
        <v>81685.445122044126</v>
      </c>
    </row>
    <row r="23" spans="1:8" ht="23" x14ac:dyDescent="0.25">
      <c r="A23" s="23" t="s">
        <v>32</v>
      </c>
    </row>
    <row r="24" spans="1:8" ht="23" x14ac:dyDescent="0.25">
      <c r="A24" s="23" t="s">
        <v>33</v>
      </c>
    </row>
    <row r="25" spans="1:8" ht="21" x14ac:dyDescent="0.25">
      <c r="E25" s="25" t="s">
        <v>27</v>
      </c>
      <c r="F25" s="26">
        <f>'Depreciation Calculator'!C29</f>
        <v>51540.031536887516</v>
      </c>
    </row>
    <row r="28" spans="1:8" ht="23" x14ac:dyDescent="0.25">
      <c r="A28" s="23" t="s">
        <v>34</v>
      </c>
    </row>
    <row r="29" spans="1:8" ht="23" x14ac:dyDescent="0.25">
      <c r="A29" s="23" t="s">
        <v>35</v>
      </c>
    </row>
    <row r="30" spans="1:8" ht="21" x14ac:dyDescent="0.25">
      <c r="F30" s="25" t="s">
        <v>27</v>
      </c>
      <c r="G30" s="26">
        <f>'Depreciation Calculator'!D26-'Depreciation Calculator'!D36</f>
        <v>450000</v>
      </c>
    </row>
    <row r="33" spans="1:10" ht="23" x14ac:dyDescent="0.25">
      <c r="A33" s="23" t="s">
        <v>36</v>
      </c>
    </row>
    <row r="34" spans="1:10" ht="23" x14ac:dyDescent="0.25">
      <c r="A34" s="23" t="s">
        <v>33</v>
      </c>
    </row>
    <row r="35" spans="1:10" ht="21" x14ac:dyDescent="0.25">
      <c r="E35" s="25" t="s">
        <v>27</v>
      </c>
      <c r="F35" s="26">
        <f>'Depreciation Calculator'!D35</f>
        <v>62946.270589708351</v>
      </c>
    </row>
    <row r="37" spans="1:10" ht="23" x14ac:dyDescent="0.25">
      <c r="A37" s="23" t="s">
        <v>37</v>
      </c>
    </row>
    <row r="38" spans="1:10" ht="23" x14ac:dyDescent="0.25">
      <c r="A38" s="23" t="s">
        <v>38</v>
      </c>
    </row>
    <row r="39" spans="1:10" ht="23" x14ac:dyDescent="0.25">
      <c r="A39" s="23" t="s">
        <v>39</v>
      </c>
    </row>
    <row r="40" spans="1:10" ht="21" x14ac:dyDescent="0.25">
      <c r="F40" s="24" t="s">
        <v>41</v>
      </c>
      <c r="G40" s="24"/>
      <c r="H40" s="26">
        <f>'Depreciation Calculator'!D11*'Depreciation Calculator'!D10</f>
        <v>450000</v>
      </c>
      <c r="I40" s="26"/>
      <c r="J40" s="24"/>
    </row>
    <row r="41" spans="1:10" ht="21" x14ac:dyDescent="0.25">
      <c r="F41" s="24" t="s">
        <v>42</v>
      </c>
      <c r="G41" s="24"/>
      <c r="H41" s="24"/>
      <c r="I41" s="26">
        <f>'Depreciation Calculator'!D20-'Depreciation Calculator'!D35</f>
        <v>437053.72941029165</v>
      </c>
    </row>
    <row r="44" spans="1:10" ht="21" x14ac:dyDescent="0.25">
      <c r="F44" s="2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Information</vt:lpstr>
      <vt:lpstr>Depreciation Calculator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Himanshu Shirbhate</cp:lastModifiedBy>
  <cp:lastPrinted>2019-12-30T11:34:18Z</cp:lastPrinted>
  <dcterms:created xsi:type="dcterms:W3CDTF">2019-12-30T10:28:43Z</dcterms:created>
  <dcterms:modified xsi:type="dcterms:W3CDTF">2026-02-01T13:08:15Z</dcterms:modified>
</cp:coreProperties>
</file>